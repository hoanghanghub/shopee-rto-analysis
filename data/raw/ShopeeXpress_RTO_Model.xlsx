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0D5EC2-151E-43FF-BA98-54B79B4863DB}" xr6:coauthVersionLast="47" xr6:coauthVersionMax="47" xr10:uidLastSave="{00000000-0000-0000-0000-000000000000}"/>
  <bookViews>
    <workbookView xWindow="-110" yWindow="-110" windowWidth="19420" windowHeight="11020" firstSheet="2" activeTab="2" xr2:uid="{DE197787-E7F1-439A-9694-1CFCEE351BE4}"/>
  </bookViews>
  <sheets>
    <sheet name="Zalo OA cost" sheetId="1" r:id="rId1"/>
    <sheet name="00_Assumptions" sheetId="2" r:id="rId2"/>
    <sheet name="03_Cash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3" l="1"/>
  <c r="C22" i="3"/>
  <c r="C21" i="3"/>
  <c r="F18" i="3"/>
  <c r="F13" i="3"/>
  <c r="F11" i="3"/>
  <c r="F9" i="3"/>
  <c r="F6" i="3"/>
  <c r="F5" i="3"/>
  <c r="F4" i="3"/>
  <c r="F3" i="3"/>
  <c r="F7" i="3"/>
  <c r="F10" i="3" s="1"/>
  <c r="F12" i="3" s="1"/>
  <c r="F15" i="3"/>
  <c r="E18" i="3"/>
  <c r="E16" i="3"/>
  <c r="E15" i="3"/>
  <c r="E14" i="3"/>
  <c r="E13" i="3"/>
  <c r="E12" i="3"/>
  <c r="E10" i="3"/>
  <c r="E11" i="3"/>
  <c r="E9" i="3"/>
  <c r="E5" i="3"/>
  <c r="E4" i="3"/>
  <c r="E7" i="3"/>
  <c r="E6" i="3"/>
  <c r="E3" i="3"/>
  <c r="D18" i="3"/>
  <c r="D16" i="3"/>
  <c r="D15" i="3"/>
  <c r="D14" i="3"/>
  <c r="D13" i="3"/>
  <c r="D12" i="3"/>
  <c r="D10" i="3"/>
  <c r="D11" i="3"/>
  <c r="D9" i="3"/>
  <c r="D7" i="3"/>
  <c r="D6" i="3"/>
  <c r="D5" i="3"/>
  <c r="D4" i="3"/>
  <c r="D3" i="3"/>
  <c r="C18" i="3"/>
  <c r="C19" i="3" s="1"/>
  <c r="D19" i="3" s="1"/>
  <c r="E19" i="3" s="1"/>
  <c r="C17" i="3"/>
  <c r="D17" i="3" s="1"/>
  <c r="E17" i="3" s="1"/>
  <c r="C23" i="3" s="1"/>
  <c r="E31" i="2"/>
  <c r="E16" i="2"/>
  <c r="E36" i="2"/>
  <c r="E35" i="2"/>
  <c r="E28" i="2"/>
  <c r="E40" i="2" s="1"/>
  <c r="E15" i="2"/>
  <c r="E7" i="2"/>
  <c r="F14" i="3" l="1"/>
  <c r="F16" i="3" s="1"/>
  <c r="D5" i="1"/>
  <c r="D6" i="1" s="1"/>
  <c r="D7" i="1" s="1"/>
  <c r="D8" i="1" s="1"/>
  <c r="D9" i="1" s="1"/>
  <c r="E29" i="2"/>
  <c r="E30" i="2" s="1"/>
  <c r="F19" i="3" l="1"/>
  <c r="F17" i="3"/>
  <c r="E41" i="2"/>
  <c r="E42" i="2" s="1"/>
  <c r="E4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4" authorId="0" shapeId="0" xr:uid="{9B16C9B8-4A6D-4B8B-AF0A-18691B5F55EF}">
      <text>
        <r>
          <rPr>
            <b/>
            <sz val="9"/>
            <color indexed="81"/>
            <rFont val="Tahoma"/>
            <charset val="1"/>
          </rPr>
          <t>Fully loaded cost: nhân công trực tiếp(~4200d)+kho bãi, thiết bị, giám sát, hao hụt(~23800d)</t>
        </r>
      </text>
    </comment>
    <comment ref="E41" authorId="0" shapeId="0" xr:uid="{C1013635-DD2C-4F77-BF81-751882CCAAF2}">
      <text>
        <r>
          <rPr>
            <b/>
            <sz val="9"/>
            <color indexed="81"/>
            <rFont val="Tahoma"/>
            <charset val="1"/>
          </rPr>
          <t xml:space="preserve">=cash inflow-OpEx Zalo OA-Khấu hao
</t>
        </r>
      </text>
    </comment>
    <comment ref="E42" authorId="0" shapeId="0" xr:uid="{3AEC1AE1-D1D2-4946-899E-4CF1778DEDD0}">
      <text>
        <r>
          <rPr>
            <b/>
            <sz val="9"/>
            <color indexed="81"/>
            <rFont val="Tahoma"/>
            <charset val="1"/>
          </rPr>
          <t>max(0,ebit)x thuế suất ( không âm thuế)</t>
        </r>
      </text>
    </comment>
    <comment ref="E43" authorId="0" shapeId="0" xr:uid="{42567FAA-9F52-480B-BB62-08DF4443C918}">
      <text>
        <r>
          <rPr>
            <b/>
            <sz val="9"/>
            <color indexed="81"/>
            <rFont val="Tahoma"/>
            <charset val="1"/>
          </rPr>
          <t>cash inflow - OpEx - tax + khấu hao( cộng lại khấu hao vì không phải tiền mặt)</t>
        </r>
      </text>
    </comment>
  </commentList>
</comments>
</file>

<file path=xl/sharedStrings.xml><?xml version="1.0" encoding="utf-8"?>
<sst xmlns="http://schemas.openxmlformats.org/spreadsheetml/2006/main" count="387" uniqueCount="232">
  <si>
    <t>var_id</t>
  </si>
  <si>
    <t>stt</t>
  </si>
  <si>
    <t>item</t>
  </si>
  <si>
    <t>value</t>
  </si>
  <si>
    <t>unit</t>
  </si>
  <si>
    <t>data_class</t>
  </si>
  <si>
    <t>type</t>
  </si>
  <si>
    <t>year</t>
  </si>
  <si>
    <t>source</t>
  </si>
  <si>
    <t>url</t>
  </si>
  <si>
    <t>formula</t>
  </si>
  <si>
    <t>used_for</t>
  </si>
  <si>
    <t>cost_oa_package_annual</t>
  </si>
  <si>
    <t>price_zns_per_msg</t>
  </si>
  <si>
    <t>zns_msgs_per_month</t>
  </si>
  <si>
    <t>zns_msgs_per_year</t>
  </si>
  <si>
    <t>cost_zns_annual</t>
  </si>
  <si>
    <t>opex_zalo_oa_annual</t>
  </si>
  <si>
    <t>zns_msgs_per_order</t>
  </si>
  <si>
    <t>cod_orders_per_month</t>
  </si>
  <si>
    <t>gói Zalo OA - tăng trưởng</t>
  </si>
  <si>
    <t>đơn giá ZNS</t>
  </si>
  <si>
    <t>số tin ZNS/đơn</t>
  </si>
  <si>
    <t>số đơn COD/tháng</t>
  </si>
  <si>
    <t>số tin ZNS/tháng</t>
  </si>
  <si>
    <t>số tin ZNS/năm</t>
  </si>
  <si>
    <t>chi phí ZNS/năm</t>
  </si>
  <si>
    <t>tổng OpEx Zalo OA/năm</t>
  </si>
  <si>
    <t>VND/năm</t>
  </si>
  <si>
    <t>VND/tin</t>
  </si>
  <si>
    <t>tin/đơn</t>
  </si>
  <si>
    <t>đơn/tháng</t>
  </si>
  <si>
    <t>tin/tháng</t>
  </si>
  <si>
    <t>tin/năm</t>
  </si>
  <si>
    <t>A</t>
  </si>
  <si>
    <t>B</t>
  </si>
  <si>
    <t>input</t>
  </si>
  <si>
    <t>derived</t>
  </si>
  <si>
    <t>all</t>
  </si>
  <si>
    <t>Zalo OA chính thức</t>
  </si>
  <si>
    <t>Nhanh.vn</t>
  </si>
  <si>
    <t>Giả định</t>
  </si>
  <si>
    <t>Chờ GD2</t>
  </si>
  <si>
    <t>Suy ra</t>
  </si>
  <si>
    <t>https://oa.zalo.me/home</t>
  </si>
  <si>
    <t>https://zns.nhanh.vn/</t>
  </si>
  <si>
    <t>cod_orders_per_month * zns_msgs_per_order</t>
  </si>
  <si>
    <t>zns_msgs_per_month * 12</t>
  </si>
  <si>
    <t>zns_msgs_per_year * price_zns_per_msg</t>
  </si>
  <si>
    <t>cost_oa_package_annual + cost_zns_annual</t>
  </si>
  <si>
    <t>CF sheet</t>
  </si>
  <si>
    <t>OpEX</t>
  </si>
  <si>
    <t>group</t>
  </si>
  <si>
    <t>note</t>
  </si>
  <si>
    <t>mkt_orders_per_day</t>
  </si>
  <si>
    <t>mkt_cod_share</t>
  </si>
  <si>
    <t>mkt_spx_share</t>
  </si>
  <si>
    <t>mkt_project_scope</t>
  </si>
  <si>
    <t>baseline_rto_rate</t>
  </si>
  <si>
    <t>rto_reduction_mean</t>
  </si>
  <si>
    <t>rto_reduction_std</t>
  </si>
  <si>
    <t>project_lifetime</t>
  </si>
  <si>
    <t>cost_ship_per_order</t>
  </si>
  <si>
    <t>cost_return_ship_per_order</t>
  </si>
  <si>
    <t>cost_reclassify_per_order</t>
  </si>
  <si>
    <t>cost_total_per_rto_order</t>
  </si>
  <si>
    <t>min_wage_region1</t>
  </si>
  <si>
    <t>working_days_per_month</t>
  </si>
  <si>
    <t>working_hours_per_day</t>
  </si>
  <si>
    <t>minutes_per_rto_order</t>
  </si>
  <si>
    <t>labor_overhead_rate</t>
  </si>
  <si>
    <t>wacc</t>
  </si>
  <si>
    <t>corporate_tax_rate</t>
  </si>
  <si>
    <t>discount_rate_mc</t>
  </si>
  <si>
    <t>market</t>
  </si>
  <si>
    <t>impact</t>
  </si>
  <si>
    <t>unit cost</t>
  </si>
  <si>
    <t>labor</t>
  </si>
  <si>
    <t>financial</t>
  </si>
  <si>
    <t>tổng đơn TMDT VN/ngày</t>
  </si>
  <si>
    <t>thị phần shopee</t>
  </si>
  <si>
    <t>tỷ trọng COD</t>
  </si>
  <si>
    <t>tỷ lệ đơn dùng SPX</t>
  </si>
  <si>
    <t>phạm vi pilot</t>
  </si>
  <si>
    <t>tỷ lệ RTO nền</t>
  </si>
  <si>
    <t>mức giảm RTO TB</t>
  </si>
  <si>
    <t>độ lệch chuẩn</t>
  </si>
  <si>
    <t>vòng đời dự án</t>
  </si>
  <si>
    <t>phí ship chiều đi</t>
  </si>
  <si>
    <t>phí chuyển hoàn</t>
  </si>
  <si>
    <t>chi phí phân loại kho</t>
  </si>
  <si>
    <t>tổng chi phí 1 đơn RTO</t>
  </si>
  <si>
    <t>lương tối thiểu vùng 1</t>
  </si>
  <si>
    <t>ngày làm việc/tháng</t>
  </si>
  <si>
    <t>giờ làm việc/ngày</t>
  </si>
  <si>
    <t>thời gian xử lý 1 đơn RTO</t>
  </si>
  <si>
    <t>hệ số chi phí gián tiếp</t>
  </si>
  <si>
    <t>chi phí vốn bình quân</t>
  </si>
  <si>
    <t>thuế TNDN</t>
  </si>
  <si>
    <t>tỷ lệ chiết khấu MC</t>
  </si>
  <si>
    <t>đơn/ngày</t>
  </si>
  <si>
    <t>%</t>
  </si>
  <si>
    <t>năm</t>
  </si>
  <si>
    <t>VND/đơn</t>
  </si>
  <si>
    <t>VND/tháng</t>
  </si>
  <si>
    <t>ngày</t>
  </si>
  <si>
    <t>giờ</t>
  </si>
  <si>
    <t>phút</t>
  </si>
  <si>
    <t>lần</t>
  </si>
  <si>
    <t>metric Q1/2026</t>
  </si>
  <si>
    <t>metric 2025</t>
  </si>
  <si>
    <t>TGM Research 2025</t>
  </si>
  <si>
    <t>giả định</t>
  </si>
  <si>
    <t>suy ra</t>
  </si>
  <si>
    <t>điểm giữa 8-10%</t>
  </si>
  <si>
    <t>case study</t>
  </si>
  <si>
    <t>đề cương</t>
  </si>
  <si>
    <t>bảng giá SPX</t>
  </si>
  <si>
    <t>SPX mới</t>
  </si>
  <si>
    <t>suy từ lương</t>
  </si>
  <si>
    <t>nghị định CP</t>
  </si>
  <si>
    <t>luật LD</t>
  </si>
  <si>
    <t>lãi vay 6-7% + premium</t>
  </si>
  <si>
    <t>luật thuế VN</t>
  </si>
  <si>
    <t>https://vietnamfinance.vn/</t>
  </si>
  <si>
    <t>https://www.thitruonghanghoa.com/</t>
  </si>
  <si>
    <t>https://tgmresearch.com/</t>
  </si>
  <si>
    <t>https://www.dondy.net/</t>
  </si>
  <si>
    <t>https://nhanh.vn/</t>
  </si>
  <si>
    <t>4 sàn: shopee, tiktok, lazada, tiki</t>
  </si>
  <si>
    <t>56.04% doanh số</t>
  </si>
  <si>
    <t>khảo sát ntd</t>
  </si>
  <si>
    <t>SPX xử lý ~60% đơn shopee</t>
  </si>
  <si>
    <t>neo cho cash inflows</t>
  </si>
  <si>
    <t>tâm phân phối beta</t>
  </si>
  <si>
    <t>cho Monte Carlo</t>
  </si>
  <si>
    <t>nội tỉnh 1-2kg</t>
  </si>
  <si>
    <t>miễn phí từ 01/01/2026</t>
  </si>
  <si>
    <t>xem nhóm labor</t>
  </si>
  <si>
    <t>17k+28k</t>
  </si>
  <si>
    <t>bảo hiểm, quản lý</t>
  </si>
  <si>
    <t>cf0_integration_cost</t>
  </si>
  <si>
    <t>cf0_ai_dev_cost</t>
  </si>
  <si>
    <t>chi phí phát triển AI</t>
  </si>
  <si>
    <t>chi phí tích hợp API</t>
  </si>
  <si>
    <t>cf0_training_cost</t>
  </si>
  <si>
    <t>chi phí đào tạo shipper</t>
  </si>
  <si>
    <t>cf0_total</t>
  </si>
  <si>
    <t>tổng vốn đầu tư ban đầu</t>
  </si>
  <si>
    <t>VND</t>
  </si>
  <si>
    <t>team 4 người x 30tr/tháng x 4 tháng+hạ tầng</t>
  </si>
  <si>
    <t>tích hợp Zalo OA+hệ thống đơn hàng</t>
  </si>
  <si>
    <t>500 shipper x 60k/người</t>
  </si>
  <si>
    <t>sum 3 cái trên</t>
  </si>
  <si>
    <t>Nhóm A: Cfo (vốn đầu tư ban đầu)</t>
  </si>
  <si>
    <t>Nhóm B: Dòng tiền</t>
  </si>
  <si>
    <t>Nhóm C: Giả định tăng trưởng</t>
  </si>
  <si>
    <t>rto_orders_baseline</t>
  </si>
  <si>
    <t>rto_orders_prevented</t>
  </si>
  <si>
    <t>cash_inflow_annual</t>
  </si>
  <si>
    <t>số đơn RTO/nằm ở baseline</t>
  </si>
  <si>
    <t>số đơn RTO giảm được/năm</t>
  </si>
  <si>
    <t>cash inflow/năm</t>
  </si>
  <si>
    <t>đơn/năm</t>
  </si>
  <si>
    <t>order_growth_rate</t>
  </si>
  <si>
    <t>tăng trưởng đơn hàng/năm</t>
  </si>
  <si>
    <t>tăng trưởng OpEx/năm</t>
  </si>
  <si>
    <t>Giá trị thanh lý cuối dự án</t>
  </si>
  <si>
    <t>opex_growth_rate</t>
  </si>
  <si>
    <t>salvage_value_rate</t>
  </si>
  <si>
    <t>TMDT VN tăng ~15-20%/năm</t>
  </si>
  <si>
    <t>lạm phát + tăng quy mô</t>
  </si>
  <si>
    <t>% của Cfo</t>
  </si>
  <si>
    <t>Nhóm D: Tham số phân phối Monte Carlo</t>
  </si>
  <si>
    <t>beta_alpha</t>
  </si>
  <si>
    <t>beta_beta</t>
  </si>
  <si>
    <t>order_volume_std</t>
  </si>
  <si>
    <t>tham số alpha của Beta</t>
  </si>
  <si>
    <t>tham số beta của Beta</t>
  </si>
  <si>
    <t>độ lệch chuẩn quy mô đơn</t>
  </si>
  <si>
    <t>số kịch bản Monte Carlo</t>
  </si>
  <si>
    <t>alpha=meanx((meanx(1-mean)/std^2)-1)</t>
  </si>
  <si>
    <t>beta=(1-mean)x((meanx(1-mean)/std^2)-1</t>
  </si>
  <si>
    <t>cho normal distribution</t>
  </si>
  <si>
    <t>Nhóm E: Thuế và dòng tiền sau thuế</t>
  </si>
  <si>
    <t>depreciation_years</t>
  </si>
  <si>
    <t>depreciation_annual</t>
  </si>
  <si>
    <t>ebit_annual</t>
  </si>
  <si>
    <t>tax_annual</t>
  </si>
  <si>
    <t>số năm khấu hao Cfo</t>
  </si>
  <si>
    <t>khấu hao hàng năm</t>
  </si>
  <si>
    <t>EBIT/năm</t>
  </si>
  <si>
    <t>thiếu TNDN/năm</t>
  </si>
  <si>
    <t>khấu hao đều</t>
  </si>
  <si>
    <t>mkt_shopee_share</t>
  </si>
  <si>
    <t>dòng tiền ròng/năm</t>
  </si>
  <si>
    <t>net_cash_flow_annual</t>
  </si>
  <si>
    <t>mc_iterations</t>
  </si>
  <si>
    <t xml:space="preserve">1000 kịch bản monte carlo </t>
  </si>
  <si>
    <t>cf0</t>
  </si>
  <si>
    <t>cash_flow</t>
  </si>
  <si>
    <t>growth</t>
  </si>
  <si>
    <t>monte_carlo</t>
  </si>
  <si>
    <t>tax_depreciation</t>
  </si>
  <si>
    <t>cost_saved_per_prevented_rto</t>
  </si>
  <si>
    <t>chi phí tiết kiệm được mỗi đơn RTO tránh được</t>
  </si>
  <si>
    <t>STT</t>
  </si>
  <si>
    <t>Chỉ tiêu</t>
  </si>
  <si>
    <t>Year 0</t>
  </si>
  <si>
    <t>Year 1</t>
  </si>
  <si>
    <t>Year 2</t>
  </si>
  <si>
    <t>Year 3</t>
  </si>
  <si>
    <t>Cash Inflows</t>
  </si>
  <si>
    <t>số đơn RTO baseline/năm</t>
  </si>
  <si>
    <t>chi phí tiết kiệm/đơn</t>
  </si>
  <si>
    <t>tổng Cash Inflow</t>
  </si>
  <si>
    <t>OpEx</t>
  </si>
  <si>
    <t>OpEx Zalo OA</t>
  </si>
  <si>
    <t>EBIT</t>
  </si>
  <si>
    <t>khấu hao</t>
  </si>
  <si>
    <t>EBT(lợi nhuận trước thuế)</t>
  </si>
  <si>
    <t>thuế TNDN(20%)</t>
  </si>
  <si>
    <t>lợi nhuận sau thuế</t>
  </si>
  <si>
    <t>cộng lại khấu hao</t>
  </si>
  <si>
    <t>Net Cash Flow</t>
  </si>
  <si>
    <t>Cumulative CF</t>
  </si>
  <si>
    <t>Discounted CF(WACC 10%)</t>
  </si>
  <si>
    <t>Cumulative Discounted CF</t>
  </si>
  <si>
    <t>NPV</t>
  </si>
  <si>
    <t>IRR</t>
  </si>
  <si>
    <t>Payback</t>
  </si>
  <si>
    <t>0.1% tổng đơn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</si>
</sst>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₫&quot;;[Red]\-#,##0.00\ &quot;₫&quot;"/>
  </numFmts>
  <fonts count="9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color rgb="FF0F1115"/>
      <name val="Arial"/>
      <family val="2"/>
      <scheme val="minor"/>
    </font>
    <font>
      <b/>
      <sz val="9"/>
      <color indexed="81"/>
      <name val="Tahoma"/>
      <charset val="1"/>
    </font>
    <font>
      <sz val="8"/>
      <name val="Arial"/>
      <family val="2"/>
      <charset val="163"/>
      <scheme val="minor"/>
    </font>
    <font>
      <sz val="11"/>
      <color rgb="FF0F111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4" fillId="0" borderId="1" xfId="1" applyFont="1" applyBorder="1"/>
    <xf numFmtId="0" fontId="5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wrapText="1"/>
    </xf>
    <xf numFmtId="0" fontId="8" fillId="0" borderId="1" xfId="0" applyFont="1" applyBorder="1"/>
    <xf numFmtId="8" fontId="0" fillId="0" borderId="1" xfId="0" applyNumberFormat="1" applyBorder="1"/>
    <xf numFmtId="9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1"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5"/>
        </patternFill>
      </fill>
    </dxf>
    <dxf>
      <fill>
        <patternFill>
          <bgColor theme="2" tint="-0.24994659260841701"/>
        </patternFill>
      </fill>
    </dxf>
    <dxf>
      <fill>
        <patternFill>
          <bgColor theme="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zns.nhanh.vn/" TargetMode="External"/><Relationship Id="rId1" Type="http://schemas.openxmlformats.org/officeDocument/2006/relationships/hyperlink" Target="https://oa.zalo.me/hom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tgmresearch.com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thitruonghanghoa.com/" TargetMode="External"/><Relationship Id="rId1" Type="http://schemas.openxmlformats.org/officeDocument/2006/relationships/hyperlink" Target="https://vietnamfinance.vn/" TargetMode="External"/><Relationship Id="rId6" Type="http://schemas.openxmlformats.org/officeDocument/2006/relationships/hyperlink" Target="https://nhanh.vn/" TargetMode="External"/><Relationship Id="rId5" Type="http://schemas.openxmlformats.org/officeDocument/2006/relationships/hyperlink" Target="https://nhanh.vn/" TargetMode="External"/><Relationship Id="rId4" Type="http://schemas.openxmlformats.org/officeDocument/2006/relationships/hyperlink" Target="https://www.dondy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D71C-1A0F-4996-A5D5-129D86075A9C}">
  <dimension ref="A1:L9"/>
  <sheetViews>
    <sheetView workbookViewId="0">
      <selection activeCell="D6" sqref="D6"/>
    </sheetView>
  </sheetViews>
  <sheetFormatPr defaultRowHeight="14" x14ac:dyDescent="0.3"/>
  <cols>
    <col min="1" max="1" width="21.33203125" bestFit="1" customWidth="1"/>
    <col min="3" max="3" width="21.5" bestFit="1" customWidth="1"/>
    <col min="4" max="4" width="9.75" bestFit="1" customWidth="1"/>
    <col min="6" max="6" width="9.83203125" bestFit="1" customWidth="1"/>
    <col min="9" max="9" width="16.25" bestFit="1" customWidth="1"/>
    <col min="10" max="10" width="20.1640625" bestFit="1" customWidth="1"/>
    <col min="11" max="11" width="21.1640625" style="1" customWidth="1"/>
  </cols>
  <sheetData>
    <row r="1" spans="1:12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spans="1:12" x14ac:dyDescent="0.3">
      <c r="A2" s="5" t="s">
        <v>12</v>
      </c>
      <c r="B2" s="5">
        <v>1.1000000000000001</v>
      </c>
      <c r="C2" s="5" t="s">
        <v>20</v>
      </c>
      <c r="D2" s="5">
        <v>2500000</v>
      </c>
      <c r="E2" s="5" t="s">
        <v>28</v>
      </c>
      <c r="F2" s="5" t="s">
        <v>34</v>
      </c>
      <c r="G2" s="5" t="s">
        <v>36</v>
      </c>
      <c r="H2" s="5" t="s">
        <v>38</v>
      </c>
      <c r="I2" s="5" t="s">
        <v>39</v>
      </c>
      <c r="J2" s="6" t="s">
        <v>44</v>
      </c>
      <c r="K2" s="7"/>
      <c r="L2" s="5" t="s">
        <v>51</v>
      </c>
    </row>
    <row r="3" spans="1:12" x14ac:dyDescent="0.3">
      <c r="A3" s="5" t="s">
        <v>13</v>
      </c>
      <c r="B3" s="5">
        <v>1.2</v>
      </c>
      <c r="C3" s="5" t="s">
        <v>21</v>
      </c>
      <c r="D3" s="5">
        <v>300</v>
      </c>
      <c r="E3" s="5" t="s">
        <v>29</v>
      </c>
      <c r="F3" s="5" t="s">
        <v>34</v>
      </c>
      <c r="G3" s="5" t="s">
        <v>36</v>
      </c>
      <c r="H3" s="5" t="s">
        <v>38</v>
      </c>
      <c r="I3" s="5" t="s">
        <v>40</v>
      </c>
      <c r="J3" s="6" t="s">
        <v>45</v>
      </c>
      <c r="K3" s="7"/>
      <c r="L3" s="5" t="s">
        <v>51</v>
      </c>
    </row>
    <row r="4" spans="1:12" x14ac:dyDescent="0.3">
      <c r="A4" s="5" t="s">
        <v>18</v>
      </c>
      <c r="B4" s="5">
        <v>1.3</v>
      </c>
      <c r="C4" s="5" t="s">
        <v>22</v>
      </c>
      <c r="D4" s="5">
        <v>1</v>
      </c>
      <c r="E4" s="5" t="s">
        <v>30</v>
      </c>
      <c r="F4" s="5" t="s">
        <v>35</v>
      </c>
      <c r="G4" s="5" t="s">
        <v>36</v>
      </c>
      <c r="H4" s="5" t="s">
        <v>38</v>
      </c>
      <c r="I4" s="5" t="s">
        <v>41</v>
      </c>
      <c r="J4" s="5"/>
      <c r="K4" s="7"/>
      <c r="L4" s="5" t="s">
        <v>51</v>
      </c>
    </row>
    <row r="5" spans="1:12" x14ac:dyDescent="0.3">
      <c r="A5" s="5" t="s">
        <v>19</v>
      </c>
      <c r="B5" s="5">
        <v>1.4</v>
      </c>
      <c r="C5" s="5" t="s">
        <v>23</v>
      </c>
      <c r="D5" s="5">
        <f>'00_Assumptions'!E7</f>
        <v>45896.76</v>
      </c>
      <c r="E5" s="5" t="s">
        <v>31</v>
      </c>
      <c r="F5" s="5" t="s">
        <v>35</v>
      </c>
      <c r="G5" s="5" t="s">
        <v>36</v>
      </c>
      <c r="H5" s="5" t="s">
        <v>38</v>
      </c>
      <c r="I5" s="5" t="s">
        <v>42</v>
      </c>
      <c r="J5" s="5"/>
      <c r="K5" s="7"/>
      <c r="L5" s="5" t="s">
        <v>51</v>
      </c>
    </row>
    <row r="6" spans="1:12" ht="28" x14ac:dyDescent="0.3">
      <c r="A6" s="5" t="s">
        <v>14</v>
      </c>
      <c r="B6" s="5">
        <v>1.5</v>
      </c>
      <c r="C6" s="5" t="s">
        <v>24</v>
      </c>
      <c r="D6" s="5">
        <f>D5*D4</f>
        <v>45896.76</v>
      </c>
      <c r="E6" s="5" t="s">
        <v>32</v>
      </c>
      <c r="F6" s="5" t="s">
        <v>35</v>
      </c>
      <c r="G6" s="5" t="s">
        <v>10</v>
      </c>
      <c r="H6" s="5" t="s">
        <v>38</v>
      </c>
      <c r="I6" s="5" t="s">
        <v>43</v>
      </c>
      <c r="J6" s="5"/>
      <c r="K6" s="7" t="s">
        <v>46</v>
      </c>
      <c r="L6" s="5" t="s">
        <v>51</v>
      </c>
    </row>
    <row r="7" spans="1:12" ht="28" x14ac:dyDescent="0.3">
      <c r="A7" s="5" t="s">
        <v>15</v>
      </c>
      <c r="B7" s="5">
        <v>1.6</v>
      </c>
      <c r="C7" s="5" t="s">
        <v>25</v>
      </c>
      <c r="D7" s="5">
        <f>D6*12</f>
        <v>550761.12</v>
      </c>
      <c r="E7" s="5" t="s">
        <v>33</v>
      </c>
      <c r="F7" s="5" t="s">
        <v>35</v>
      </c>
      <c r="G7" s="5" t="s">
        <v>10</v>
      </c>
      <c r="H7" s="5" t="s">
        <v>38</v>
      </c>
      <c r="I7" s="5" t="s">
        <v>43</v>
      </c>
      <c r="J7" s="5"/>
      <c r="K7" s="7" t="s">
        <v>47</v>
      </c>
      <c r="L7" s="5" t="s">
        <v>51</v>
      </c>
    </row>
    <row r="8" spans="1:12" ht="28" x14ac:dyDescent="0.3">
      <c r="A8" s="5" t="s">
        <v>16</v>
      </c>
      <c r="B8" s="5">
        <v>1.7</v>
      </c>
      <c r="C8" s="5" t="s">
        <v>26</v>
      </c>
      <c r="D8" s="5">
        <f>D7*D3</f>
        <v>165228336</v>
      </c>
      <c r="E8" s="5" t="s">
        <v>28</v>
      </c>
      <c r="F8" s="5" t="s">
        <v>35</v>
      </c>
      <c r="G8" s="5" t="s">
        <v>10</v>
      </c>
      <c r="H8" s="5" t="s">
        <v>38</v>
      </c>
      <c r="I8" s="5" t="s">
        <v>43</v>
      </c>
      <c r="J8" s="5"/>
      <c r="K8" s="7" t="s">
        <v>48</v>
      </c>
      <c r="L8" s="5" t="s">
        <v>51</v>
      </c>
    </row>
    <row r="9" spans="1:12" ht="28" x14ac:dyDescent="0.3">
      <c r="A9" s="5" t="s">
        <v>17</v>
      </c>
      <c r="B9" s="5">
        <v>1.8</v>
      </c>
      <c r="C9" s="5" t="s">
        <v>27</v>
      </c>
      <c r="D9" s="5">
        <f>D2+D8</f>
        <v>167728336</v>
      </c>
      <c r="E9" s="5" t="s">
        <v>28</v>
      </c>
      <c r="F9" s="5" t="s">
        <v>35</v>
      </c>
      <c r="G9" s="5" t="s">
        <v>37</v>
      </c>
      <c r="H9" s="5" t="s">
        <v>38</v>
      </c>
      <c r="I9" s="5" t="s">
        <v>43</v>
      </c>
      <c r="J9" s="5"/>
      <c r="K9" s="7" t="s">
        <v>49</v>
      </c>
      <c r="L9" s="5" t="s">
        <v>50</v>
      </c>
    </row>
  </sheetData>
  <conditionalFormatting sqref="F2:F9">
    <cfRule type="expression" dxfId="10" priority="1">
      <formula>$F2="A"</formula>
    </cfRule>
    <cfRule type="expression" dxfId="9" priority="7">
      <formula>$F2="B"</formula>
    </cfRule>
    <cfRule type="expression" dxfId="8" priority="8">
      <formula>$F2="A"</formula>
    </cfRule>
    <cfRule type="expression" dxfId="7" priority="9">
      <formula>$F2="A"</formula>
    </cfRule>
  </conditionalFormatting>
  <conditionalFormatting sqref="G2:G9">
    <cfRule type="expression" dxfId="6" priority="2">
      <formula>$G2="formula"</formula>
    </cfRule>
    <cfRule type="expression" dxfId="5" priority="3">
      <formula>$G2="formula"</formula>
    </cfRule>
    <cfRule type="expression" dxfId="4" priority="4">
      <formula>$G2="derived"</formula>
    </cfRule>
    <cfRule type="expression" dxfId="3" priority="5">
      <formula>$F2="formula"</formula>
    </cfRule>
    <cfRule type="expression" dxfId="2" priority="6">
      <formula>$G2="input"</formula>
    </cfRule>
  </conditionalFormatting>
  <hyperlinks>
    <hyperlink ref="J2" r:id="rId1" xr:uid="{8FAC194F-C9DA-4122-83D1-2C673945531F}"/>
    <hyperlink ref="J3" r:id="rId2" xr:uid="{9938DCE1-F42E-4E1C-A359-C7A3524249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7C72-C9A2-497F-917C-930E15D777DC}">
  <dimension ref="A1:M43"/>
  <sheetViews>
    <sheetView topLeftCell="I1" zoomScale="95" workbookViewId="0">
      <selection activeCell="J7" sqref="J7"/>
    </sheetView>
  </sheetViews>
  <sheetFormatPr defaultRowHeight="14" x14ac:dyDescent="0.3"/>
  <cols>
    <col min="1" max="1" width="13.1640625" customWidth="1"/>
    <col min="2" max="2" width="23" bestFit="1" customWidth="1"/>
    <col min="4" max="4" width="21.6640625" bestFit="1" customWidth="1"/>
    <col min="5" max="5" width="12.33203125" bestFit="1" customWidth="1"/>
    <col min="6" max="6" width="9.5" bestFit="1" customWidth="1"/>
    <col min="7" max="7" width="11.08203125" customWidth="1"/>
    <col min="8" max="8" width="31.33203125" customWidth="1"/>
    <col min="9" max="9" width="28.83203125" bestFit="1" customWidth="1"/>
    <col min="10" max="10" width="26.9140625" bestFit="1" customWidth="1"/>
  </cols>
  <sheetData>
    <row r="1" spans="2:13" s="2" customFormat="1" x14ac:dyDescent="0.3">
      <c r="B1" s="3" t="s">
        <v>0</v>
      </c>
      <c r="C1" s="3" t="s">
        <v>52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8</v>
      </c>
      <c r="I1" s="3" t="s">
        <v>9</v>
      </c>
      <c r="J1" s="3" t="s">
        <v>53</v>
      </c>
      <c r="K1" s="2" t="s">
        <v>10</v>
      </c>
      <c r="L1" s="2" t="s">
        <v>11</v>
      </c>
      <c r="M1" s="2" t="s">
        <v>7</v>
      </c>
    </row>
    <row r="2" spans="2:13" x14ac:dyDescent="0.3">
      <c r="B2" s="8" t="s">
        <v>54</v>
      </c>
      <c r="C2" s="8" t="s">
        <v>74</v>
      </c>
      <c r="D2" s="8" t="s">
        <v>79</v>
      </c>
      <c r="E2" s="8">
        <v>13000000</v>
      </c>
      <c r="F2" s="8" t="s">
        <v>100</v>
      </c>
      <c r="G2" s="8" t="s">
        <v>34</v>
      </c>
      <c r="H2" s="8" t="s">
        <v>109</v>
      </c>
      <c r="I2" s="9" t="s">
        <v>124</v>
      </c>
      <c r="J2" s="8" t="s">
        <v>129</v>
      </c>
    </row>
    <row r="3" spans="2:13" x14ac:dyDescent="0.3">
      <c r="B3" s="8" t="s">
        <v>194</v>
      </c>
      <c r="C3" s="8" t="s">
        <v>74</v>
      </c>
      <c r="D3" s="8" t="s">
        <v>80</v>
      </c>
      <c r="E3" s="8">
        <v>0.56040000000000001</v>
      </c>
      <c r="F3" s="8" t="s">
        <v>101</v>
      </c>
      <c r="G3" s="8" t="s">
        <v>34</v>
      </c>
      <c r="H3" s="8" t="s">
        <v>110</v>
      </c>
      <c r="I3" s="9" t="s">
        <v>125</v>
      </c>
      <c r="J3" s="8" t="s">
        <v>130</v>
      </c>
    </row>
    <row r="4" spans="2:13" x14ac:dyDescent="0.3">
      <c r="B4" s="8" t="s">
        <v>55</v>
      </c>
      <c r="C4" s="8" t="s">
        <v>74</v>
      </c>
      <c r="D4" s="8" t="s">
        <v>81</v>
      </c>
      <c r="E4" s="8">
        <v>0.35</v>
      </c>
      <c r="F4" s="8" t="s">
        <v>101</v>
      </c>
      <c r="G4" s="8" t="s">
        <v>34</v>
      </c>
      <c r="H4" s="8" t="s">
        <v>111</v>
      </c>
      <c r="I4" s="9" t="s">
        <v>126</v>
      </c>
      <c r="J4" s="8" t="s">
        <v>131</v>
      </c>
    </row>
    <row r="5" spans="2:13" x14ac:dyDescent="0.3">
      <c r="B5" s="8" t="s">
        <v>56</v>
      </c>
      <c r="C5" s="8" t="s">
        <v>74</v>
      </c>
      <c r="D5" s="8" t="s">
        <v>82</v>
      </c>
      <c r="E5" s="8">
        <v>0.6</v>
      </c>
      <c r="F5" s="8" t="s">
        <v>101</v>
      </c>
      <c r="G5" s="8" t="s">
        <v>35</v>
      </c>
      <c r="H5" s="8" t="s">
        <v>112</v>
      </c>
      <c r="I5" s="8"/>
      <c r="J5" s="8" t="s">
        <v>132</v>
      </c>
    </row>
    <row r="6" spans="2:13" x14ac:dyDescent="0.3">
      <c r="B6" s="8" t="s">
        <v>57</v>
      </c>
      <c r="C6" s="8" t="s">
        <v>74</v>
      </c>
      <c r="D6" s="8" t="s">
        <v>83</v>
      </c>
      <c r="E6" s="8">
        <v>1E-3</v>
      </c>
      <c r="F6" s="8" t="s">
        <v>101</v>
      </c>
      <c r="G6" s="8" t="s">
        <v>35</v>
      </c>
      <c r="H6" s="8" t="s">
        <v>112</v>
      </c>
      <c r="I6" s="8"/>
      <c r="J6" s="8" t="s">
        <v>231</v>
      </c>
    </row>
    <row r="7" spans="2:13" x14ac:dyDescent="0.3">
      <c r="B7" s="8" t="s">
        <v>19</v>
      </c>
      <c r="C7" s="8" t="s">
        <v>37</v>
      </c>
      <c r="D7" s="8" t="s">
        <v>23</v>
      </c>
      <c r="E7" s="8">
        <f>E2*E3*E4*E5*E6*30</f>
        <v>45896.76</v>
      </c>
      <c r="F7" s="8" t="s">
        <v>31</v>
      </c>
      <c r="G7" s="8" t="s">
        <v>35</v>
      </c>
      <c r="H7" s="8" t="s">
        <v>113</v>
      </c>
      <c r="I7" s="8"/>
      <c r="J7" s="10"/>
    </row>
    <row r="8" spans="2:13" x14ac:dyDescent="0.3">
      <c r="B8" s="8" t="s">
        <v>58</v>
      </c>
      <c r="C8" s="8" t="s">
        <v>75</v>
      </c>
      <c r="D8" s="8" t="s">
        <v>84</v>
      </c>
      <c r="E8" s="8">
        <v>0.09</v>
      </c>
      <c r="F8" s="8" t="s">
        <v>101</v>
      </c>
      <c r="G8" s="8" t="s">
        <v>35</v>
      </c>
      <c r="H8" s="8" t="s">
        <v>114</v>
      </c>
      <c r="I8" s="8"/>
      <c r="J8" s="8" t="s">
        <v>133</v>
      </c>
    </row>
    <row r="9" spans="2:13" x14ac:dyDescent="0.3">
      <c r="B9" s="8" t="s">
        <v>59</v>
      </c>
      <c r="C9" s="8" t="s">
        <v>75</v>
      </c>
      <c r="D9" s="8" t="s">
        <v>85</v>
      </c>
      <c r="E9" s="8">
        <v>0.35</v>
      </c>
      <c r="F9" s="8" t="s">
        <v>101</v>
      </c>
      <c r="G9" s="8" t="s">
        <v>34</v>
      </c>
      <c r="H9" s="8" t="s">
        <v>115</v>
      </c>
      <c r="I9" s="9" t="s">
        <v>127</v>
      </c>
      <c r="J9" s="8" t="s">
        <v>134</v>
      </c>
    </row>
    <row r="10" spans="2:13" x14ac:dyDescent="0.3">
      <c r="B10" s="8" t="s">
        <v>60</v>
      </c>
      <c r="C10" s="8" t="s">
        <v>75</v>
      </c>
      <c r="D10" s="8" t="s">
        <v>86</v>
      </c>
      <c r="E10" s="8">
        <v>0.1</v>
      </c>
      <c r="F10" s="8" t="s">
        <v>101</v>
      </c>
      <c r="G10" s="8" t="s">
        <v>35</v>
      </c>
      <c r="H10" s="8" t="s">
        <v>112</v>
      </c>
      <c r="I10" s="8"/>
      <c r="J10" s="8" t="s">
        <v>135</v>
      </c>
    </row>
    <row r="11" spans="2:13" x14ac:dyDescent="0.3">
      <c r="B11" s="8" t="s">
        <v>61</v>
      </c>
      <c r="C11" s="8" t="s">
        <v>75</v>
      </c>
      <c r="D11" s="8" t="s">
        <v>87</v>
      </c>
      <c r="E11" s="8">
        <v>3</v>
      </c>
      <c r="F11" s="8" t="s">
        <v>102</v>
      </c>
      <c r="G11" s="8" t="s">
        <v>35</v>
      </c>
      <c r="H11" s="8" t="s">
        <v>116</v>
      </c>
      <c r="I11" s="8"/>
      <c r="J11" s="8"/>
    </row>
    <row r="12" spans="2:13" x14ac:dyDescent="0.3">
      <c r="B12" s="8" t="s">
        <v>62</v>
      </c>
      <c r="C12" s="8" t="s">
        <v>76</v>
      </c>
      <c r="D12" s="8" t="s">
        <v>88</v>
      </c>
      <c r="E12" s="8">
        <v>17000</v>
      </c>
      <c r="F12" s="8" t="s">
        <v>103</v>
      </c>
      <c r="G12" s="8" t="s">
        <v>34</v>
      </c>
      <c r="H12" s="8" t="s">
        <v>117</v>
      </c>
      <c r="I12" s="9" t="s">
        <v>128</v>
      </c>
      <c r="J12" s="8" t="s">
        <v>136</v>
      </c>
    </row>
    <row r="13" spans="2:13" x14ac:dyDescent="0.3">
      <c r="B13" s="8" t="s">
        <v>63</v>
      </c>
      <c r="C13" s="8" t="s">
        <v>76</v>
      </c>
      <c r="D13" s="8" t="s">
        <v>89</v>
      </c>
      <c r="E13" s="8">
        <v>0</v>
      </c>
      <c r="F13" s="8" t="s">
        <v>103</v>
      </c>
      <c r="G13" s="8" t="s">
        <v>34</v>
      </c>
      <c r="H13" s="8" t="s">
        <v>118</v>
      </c>
      <c r="I13" s="9" t="s">
        <v>128</v>
      </c>
      <c r="J13" s="8" t="s">
        <v>137</v>
      </c>
    </row>
    <row r="14" spans="2:13" x14ac:dyDescent="0.3">
      <c r="B14" s="8" t="s">
        <v>64</v>
      </c>
      <c r="C14" s="8" t="s">
        <v>76</v>
      </c>
      <c r="D14" s="8" t="s">
        <v>90</v>
      </c>
      <c r="E14" s="8">
        <v>28000</v>
      </c>
      <c r="F14" s="8" t="s">
        <v>103</v>
      </c>
      <c r="G14" s="8" t="s">
        <v>35</v>
      </c>
      <c r="H14" s="8" t="s">
        <v>119</v>
      </c>
      <c r="I14" s="8"/>
      <c r="J14" s="8" t="s">
        <v>138</v>
      </c>
    </row>
    <row r="15" spans="2:13" x14ac:dyDescent="0.3">
      <c r="B15" s="8" t="s">
        <v>65</v>
      </c>
      <c r="C15" s="8" t="s">
        <v>76</v>
      </c>
      <c r="D15" s="8" t="s">
        <v>91</v>
      </c>
      <c r="E15" s="8">
        <f>E12+E13+E14</f>
        <v>45000</v>
      </c>
      <c r="F15" s="8" t="s">
        <v>103</v>
      </c>
      <c r="G15" s="8" t="s">
        <v>35</v>
      </c>
      <c r="H15" s="8" t="s">
        <v>113</v>
      </c>
      <c r="I15" s="8"/>
      <c r="J15" s="8" t="s">
        <v>139</v>
      </c>
    </row>
    <row r="16" spans="2:13" x14ac:dyDescent="0.3">
      <c r="B16" s="8" t="s">
        <v>204</v>
      </c>
      <c r="C16" s="8" t="s">
        <v>76</v>
      </c>
      <c r="D16" s="8" t="s">
        <v>205</v>
      </c>
      <c r="E16" s="8">
        <f>E13+E14</f>
        <v>28000</v>
      </c>
      <c r="F16" s="8" t="s">
        <v>103</v>
      </c>
      <c r="G16" s="8" t="s">
        <v>35</v>
      </c>
      <c r="H16" s="8"/>
      <c r="I16" s="8"/>
      <c r="J16" s="8"/>
    </row>
    <row r="17" spans="1:10" x14ac:dyDescent="0.3">
      <c r="B17" s="8" t="s">
        <v>66</v>
      </c>
      <c r="C17" s="8" t="s">
        <v>77</v>
      </c>
      <c r="D17" s="8" t="s">
        <v>92</v>
      </c>
      <c r="E17" s="8">
        <v>4960000</v>
      </c>
      <c r="F17" s="8" t="s">
        <v>104</v>
      </c>
      <c r="G17" s="8" t="s">
        <v>34</v>
      </c>
      <c r="H17" s="8" t="s">
        <v>120</v>
      </c>
      <c r="I17" s="8"/>
      <c r="J17" s="8"/>
    </row>
    <row r="18" spans="1:10" x14ac:dyDescent="0.3">
      <c r="B18" s="8" t="s">
        <v>67</v>
      </c>
      <c r="C18" s="8" t="s">
        <v>77</v>
      </c>
      <c r="D18" s="8" t="s">
        <v>93</v>
      </c>
      <c r="E18" s="8">
        <v>26</v>
      </c>
      <c r="F18" s="8" t="s">
        <v>105</v>
      </c>
      <c r="G18" s="8" t="s">
        <v>34</v>
      </c>
      <c r="H18" s="8" t="s">
        <v>121</v>
      </c>
      <c r="I18" s="8"/>
      <c r="J18" s="8"/>
    </row>
    <row r="19" spans="1:10" x14ac:dyDescent="0.3">
      <c r="B19" s="8" t="s">
        <v>68</v>
      </c>
      <c r="C19" s="8" t="s">
        <v>77</v>
      </c>
      <c r="D19" s="8" t="s">
        <v>94</v>
      </c>
      <c r="E19" s="8">
        <v>8</v>
      </c>
      <c r="F19" s="8" t="s">
        <v>106</v>
      </c>
      <c r="G19" s="8" t="s">
        <v>34</v>
      </c>
      <c r="H19" s="8" t="s">
        <v>121</v>
      </c>
      <c r="I19" s="8"/>
      <c r="J19" s="8"/>
    </row>
    <row r="20" spans="1:10" x14ac:dyDescent="0.3">
      <c r="B20" s="8" t="s">
        <v>69</v>
      </c>
      <c r="C20" s="8" t="s">
        <v>77</v>
      </c>
      <c r="D20" s="8" t="s">
        <v>95</v>
      </c>
      <c r="E20" s="8">
        <v>7</v>
      </c>
      <c r="F20" s="8" t="s">
        <v>107</v>
      </c>
      <c r="G20" s="8" t="s">
        <v>35</v>
      </c>
      <c r="H20" s="8" t="s">
        <v>112</v>
      </c>
      <c r="I20" s="8"/>
      <c r="J20" s="8"/>
    </row>
    <row r="21" spans="1:10" x14ac:dyDescent="0.3">
      <c r="B21" s="8" t="s">
        <v>70</v>
      </c>
      <c r="C21" s="8" t="s">
        <v>77</v>
      </c>
      <c r="D21" s="8" t="s">
        <v>96</v>
      </c>
      <c r="E21" s="8">
        <v>1.5</v>
      </c>
      <c r="F21" s="8" t="s">
        <v>108</v>
      </c>
      <c r="G21" s="8" t="s">
        <v>35</v>
      </c>
      <c r="H21" s="8" t="s">
        <v>112</v>
      </c>
      <c r="I21" s="8"/>
      <c r="J21" s="8" t="s">
        <v>140</v>
      </c>
    </row>
    <row r="22" spans="1:10" x14ac:dyDescent="0.3">
      <c r="B22" s="8" t="s">
        <v>71</v>
      </c>
      <c r="C22" s="8" t="s">
        <v>78</v>
      </c>
      <c r="D22" s="8" t="s">
        <v>97</v>
      </c>
      <c r="E22" s="8">
        <v>0.1</v>
      </c>
      <c r="F22" s="8" t="s">
        <v>101</v>
      </c>
      <c r="G22" s="8" t="s">
        <v>35</v>
      </c>
      <c r="H22" s="8" t="s">
        <v>122</v>
      </c>
      <c r="I22" s="8"/>
      <c r="J22" s="8"/>
    </row>
    <row r="23" spans="1:10" x14ac:dyDescent="0.3">
      <c r="B23" s="8" t="s">
        <v>72</v>
      </c>
      <c r="C23" s="8" t="s">
        <v>78</v>
      </c>
      <c r="D23" s="8" t="s">
        <v>98</v>
      </c>
      <c r="E23" s="8">
        <v>0.2</v>
      </c>
      <c r="F23" s="8" t="s">
        <v>101</v>
      </c>
      <c r="G23" s="8" t="s">
        <v>34</v>
      </c>
      <c r="H23" s="8" t="s">
        <v>123</v>
      </c>
      <c r="I23" s="8"/>
      <c r="J23" s="8"/>
    </row>
    <row r="24" spans="1:10" x14ac:dyDescent="0.3">
      <c r="B24" s="11" t="s">
        <v>73</v>
      </c>
      <c r="C24" s="11" t="s">
        <v>78</v>
      </c>
      <c r="D24" s="11" t="s">
        <v>99</v>
      </c>
      <c r="E24" s="11">
        <v>0.1</v>
      </c>
      <c r="F24" s="11" t="s">
        <v>101</v>
      </c>
      <c r="G24" s="11" t="s">
        <v>35</v>
      </c>
      <c r="H24" s="11" t="s">
        <v>71</v>
      </c>
      <c r="I24" s="11"/>
      <c r="J24" s="11"/>
    </row>
    <row r="25" spans="1:10" ht="28" x14ac:dyDescent="0.3">
      <c r="A25" s="16" t="s">
        <v>154</v>
      </c>
      <c r="B25" s="8" t="s">
        <v>142</v>
      </c>
      <c r="C25" s="8" t="s">
        <v>199</v>
      </c>
      <c r="D25" s="8" t="s">
        <v>143</v>
      </c>
      <c r="E25" s="8">
        <v>600000000</v>
      </c>
      <c r="F25" s="8" t="s">
        <v>149</v>
      </c>
      <c r="G25" s="8" t="s">
        <v>35</v>
      </c>
      <c r="H25" s="12" t="s">
        <v>150</v>
      </c>
      <c r="I25" s="5"/>
      <c r="J25" s="5"/>
    </row>
    <row r="26" spans="1:10" x14ac:dyDescent="0.3">
      <c r="A26" s="16"/>
      <c r="B26" s="8" t="s">
        <v>141</v>
      </c>
      <c r="C26" s="8" t="s">
        <v>199</v>
      </c>
      <c r="D26" s="8" t="s">
        <v>144</v>
      </c>
      <c r="E26" s="8">
        <v>50000000</v>
      </c>
      <c r="F26" s="8" t="s">
        <v>149</v>
      </c>
      <c r="G26" s="8" t="s">
        <v>35</v>
      </c>
      <c r="H26" s="12" t="s">
        <v>151</v>
      </c>
      <c r="I26" s="5"/>
      <c r="J26" s="5"/>
    </row>
    <row r="27" spans="1:10" x14ac:dyDescent="0.3">
      <c r="A27" s="16"/>
      <c r="B27" s="8" t="s">
        <v>145</v>
      </c>
      <c r="C27" s="8" t="s">
        <v>199</v>
      </c>
      <c r="D27" s="8" t="s">
        <v>146</v>
      </c>
      <c r="E27" s="8">
        <v>30000000</v>
      </c>
      <c r="F27" s="8" t="s">
        <v>149</v>
      </c>
      <c r="G27" s="8" t="s">
        <v>35</v>
      </c>
      <c r="H27" s="12" t="s">
        <v>152</v>
      </c>
      <c r="I27" s="5"/>
      <c r="J27" s="5"/>
    </row>
    <row r="28" spans="1:10" x14ac:dyDescent="0.3">
      <c r="A28" s="16"/>
      <c r="B28" s="8" t="s">
        <v>147</v>
      </c>
      <c r="C28" s="8" t="s">
        <v>199</v>
      </c>
      <c r="D28" s="8" t="s">
        <v>148</v>
      </c>
      <c r="E28" s="5">
        <f>SUM(E25:E27)</f>
        <v>680000000</v>
      </c>
      <c r="F28" s="8" t="s">
        <v>149</v>
      </c>
      <c r="G28" s="8" t="s">
        <v>35</v>
      </c>
      <c r="H28" s="12" t="s">
        <v>153</v>
      </c>
      <c r="I28" s="5"/>
      <c r="J28" s="5"/>
    </row>
    <row r="29" spans="1:10" x14ac:dyDescent="0.3">
      <c r="A29" s="16" t="s">
        <v>155</v>
      </c>
      <c r="B29" s="8" t="s">
        <v>157</v>
      </c>
      <c r="C29" s="5" t="s">
        <v>200</v>
      </c>
      <c r="D29" s="8" t="s">
        <v>160</v>
      </c>
      <c r="E29" s="5">
        <f>E7*E8*12</f>
        <v>49568.500800000009</v>
      </c>
      <c r="F29" s="8" t="s">
        <v>163</v>
      </c>
      <c r="G29" s="8" t="s">
        <v>35</v>
      </c>
      <c r="H29" s="5"/>
      <c r="I29" s="5"/>
      <c r="J29" s="5"/>
    </row>
    <row r="30" spans="1:10" x14ac:dyDescent="0.3">
      <c r="A30" s="16"/>
      <c r="B30" s="8" t="s">
        <v>158</v>
      </c>
      <c r="C30" s="5" t="s">
        <v>200</v>
      </c>
      <c r="D30" s="8" t="s">
        <v>161</v>
      </c>
      <c r="E30" s="5">
        <f>E29*E9</f>
        <v>17348.975280000002</v>
      </c>
      <c r="F30" s="8" t="s">
        <v>163</v>
      </c>
      <c r="G30" s="8" t="s">
        <v>35</v>
      </c>
      <c r="H30" s="5"/>
      <c r="I30" s="5"/>
      <c r="J30" s="5"/>
    </row>
    <row r="31" spans="1:10" x14ac:dyDescent="0.3">
      <c r="A31" s="16"/>
      <c r="B31" s="8" t="s">
        <v>159</v>
      </c>
      <c r="C31" s="5" t="s">
        <v>200</v>
      </c>
      <c r="D31" s="8" t="s">
        <v>162</v>
      </c>
      <c r="E31" s="5">
        <f>E16*E30</f>
        <v>485771307.84000009</v>
      </c>
      <c r="F31" s="8" t="s">
        <v>28</v>
      </c>
      <c r="G31" s="8" t="s">
        <v>35</v>
      </c>
      <c r="H31" s="5"/>
      <c r="I31" s="5"/>
      <c r="J31" s="5"/>
    </row>
    <row r="32" spans="1:10" x14ac:dyDescent="0.3">
      <c r="A32" s="16" t="s">
        <v>156</v>
      </c>
      <c r="B32" s="8" t="s">
        <v>164</v>
      </c>
      <c r="C32" s="5" t="s">
        <v>201</v>
      </c>
      <c r="D32" s="8" t="s">
        <v>165</v>
      </c>
      <c r="E32" s="5">
        <v>0.15</v>
      </c>
      <c r="F32" s="8" t="s">
        <v>101</v>
      </c>
      <c r="G32" s="8" t="s">
        <v>35</v>
      </c>
      <c r="H32" s="5"/>
      <c r="I32" s="5"/>
      <c r="J32" s="5" t="s">
        <v>170</v>
      </c>
    </row>
    <row r="33" spans="1:10" x14ac:dyDescent="0.3">
      <c r="A33" s="16"/>
      <c r="B33" s="8" t="s">
        <v>168</v>
      </c>
      <c r="C33" s="5" t="s">
        <v>201</v>
      </c>
      <c r="D33" s="8" t="s">
        <v>166</v>
      </c>
      <c r="E33" s="5">
        <v>0.05</v>
      </c>
      <c r="F33" s="8" t="s">
        <v>101</v>
      </c>
      <c r="G33" s="8" t="s">
        <v>35</v>
      </c>
      <c r="H33" s="5"/>
      <c r="I33" s="5"/>
      <c r="J33" s="5" t="s">
        <v>171</v>
      </c>
    </row>
    <row r="34" spans="1:10" x14ac:dyDescent="0.3">
      <c r="A34" s="16"/>
      <c r="B34" s="8" t="s">
        <v>169</v>
      </c>
      <c r="C34" s="5" t="s">
        <v>201</v>
      </c>
      <c r="D34" s="8" t="s">
        <v>167</v>
      </c>
      <c r="E34" s="5">
        <v>0.1</v>
      </c>
      <c r="F34" s="8" t="s">
        <v>101</v>
      </c>
      <c r="G34" s="8" t="s">
        <v>35</v>
      </c>
      <c r="H34" s="5"/>
      <c r="I34" s="5"/>
      <c r="J34" s="5" t="s">
        <v>172</v>
      </c>
    </row>
    <row r="35" spans="1:10" x14ac:dyDescent="0.3">
      <c r="A35" s="16" t="s">
        <v>173</v>
      </c>
      <c r="B35" s="8" t="s">
        <v>174</v>
      </c>
      <c r="C35" s="5" t="s">
        <v>202</v>
      </c>
      <c r="D35" s="8" t="s">
        <v>177</v>
      </c>
      <c r="E35" s="5">
        <f>E9*((E9*(1-E9)/E10^2)-1)</f>
        <v>7.6124999999999972</v>
      </c>
      <c r="F35" s="5"/>
      <c r="G35" s="8" t="s">
        <v>35</v>
      </c>
      <c r="H35" s="5"/>
      <c r="I35" s="5"/>
      <c r="J35" s="5" t="s">
        <v>181</v>
      </c>
    </row>
    <row r="36" spans="1:10" x14ac:dyDescent="0.3">
      <c r="A36" s="16"/>
      <c r="B36" s="8" t="s">
        <v>175</v>
      </c>
      <c r="C36" s="5" t="s">
        <v>202</v>
      </c>
      <c r="D36" s="8" t="s">
        <v>178</v>
      </c>
      <c r="E36" s="5">
        <f>(1-E9)*((E9*(1-E9)/E10^2)-1)</f>
        <v>14.137499999999996</v>
      </c>
      <c r="F36" s="5"/>
      <c r="G36" s="8" t="s">
        <v>35</v>
      </c>
      <c r="H36" s="5"/>
      <c r="I36" s="5"/>
      <c r="J36" s="5" t="s">
        <v>182</v>
      </c>
    </row>
    <row r="37" spans="1:10" x14ac:dyDescent="0.3">
      <c r="A37" s="16"/>
      <c r="B37" s="8" t="s">
        <v>176</v>
      </c>
      <c r="C37" s="5" t="s">
        <v>202</v>
      </c>
      <c r="D37" s="8" t="s">
        <v>179</v>
      </c>
      <c r="E37" s="5">
        <v>0.1</v>
      </c>
      <c r="F37" s="8" t="s">
        <v>101</v>
      </c>
      <c r="G37" s="8" t="s">
        <v>35</v>
      </c>
      <c r="H37" s="5"/>
      <c r="I37" s="5"/>
      <c r="J37" s="5" t="s">
        <v>183</v>
      </c>
    </row>
    <row r="38" spans="1:10" x14ac:dyDescent="0.3">
      <c r="A38" s="16"/>
      <c r="B38" s="8" t="s">
        <v>197</v>
      </c>
      <c r="C38" s="5" t="s">
        <v>202</v>
      </c>
      <c r="D38" s="8" t="s">
        <v>180</v>
      </c>
      <c r="E38" s="5">
        <v>1000</v>
      </c>
      <c r="F38" s="8" t="s">
        <v>108</v>
      </c>
      <c r="G38" s="8" t="s">
        <v>35</v>
      </c>
      <c r="H38" s="5"/>
      <c r="I38" s="5"/>
      <c r="J38" s="5" t="s">
        <v>198</v>
      </c>
    </row>
    <row r="39" spans="1:10" x14ac:dyDescent="0.3">
      <c r="A39" s="16" t="s">
        <v>184</v>
      </c>
      <c r="B39" s="8" t="s">
        <v>185</v>
      </c>
      <c r="C39" s="5" t="s">
        <v>203</v>
      </c>
      <c r="D39" s="8" t="s">
        <v>189</v>
      </c>
      <c r="E39" s="5">
        <v>3</v>
      </c>
      <c r="F39" s="8" t="s">
        <v>102</v>
      </c>
      <c r="G39" s="8" t="s">
        <v>35</v>
      </c>
      <c r="H39" s="5"/>
      <c r="I39" s="5"/>
      <c r="J39" s="5" t="s">
        <v>193</v>
      </c>
    </row>
    <row r="40" spans="1:10" x14ac:dyDescent="0.3">
      <c r="A40" s="16"/>
      <c r="B40" s="8" t="s">
        <v>186</v>
      </c>
      <c r="C40" s="5" t="s">
        <v>203</v>
      </c>
      <c r="D40" s="8" t="s">
        <v>190</v>
      </c>
      <c r="E40" s="5">
        <f>E28/E39</f>
        <v>226666666.66666666</v>
      </c>
      <c r="F40" s="8" t="s">
        <v>28</v>
      </c>
      <c r="G40" s="8" t="s">
        <v>35</v>
      </c>
      <c r="H40" s="5"/>
      <c r="I40" s="5"/>
      <c r="J40" s="5"/>
    </row>
    <row r="41" spans="1:10" x14ac:dyDescent="0.3">
      <c r="A41" s="16"/>
      <c r="B41" s="8" t="s">
        <v>187</v>
      </c>
      <c r="C41" s="5" t="s">
        <v>203</v>
      </c>
      <c r="D41" s="8" t="s">
        <v>191</v>
      </c>
      <c r="E41" s="5">
        <f>E31-'Zalo OA cost'!D9-E40</f>
        <v>91376305.173333436</v>
      </c>
      <c r="F41" s="8" t="s">
        <v>28</v>
      </c>
      <c r="G41" s="8" t="s">
        <v>35</v>
      </c>
      <c r="H41" s="5"/>
      <c r="I41" s="5"/>
      <c r="J41" s="5"/>
    </row>
    <row r="42" spans="1:10" x14ac:dyDescent="0.3">
      <c r="A42" s="16"/>
      <c r="B42" s="8" t="s">
        <v>188</v>
      </c>
      <c r="C42" s="5" t="s">
        <v>203</v>
      </c>
      <c r="D42" s="8" t="s">
        <v>192</v>
      </c>
      <c r="E42" s="5">
        <f>MAX(0,E41)*E23</f>
        <v>18275261.034666687</v>
      </c>
      <c r="F42" s="8" t="s">
        <v>28</v>
      </c>
      <c r="G42" s="8" t="s">
        <v>35</v>
      </c>
      <c r="H42" s="5"/>
      <c r="I42" s="5"/>
      <c r="J42" s="5"/>
    </row>
    <row r="43" spans="1:10" x14ac:dyDescent="0.3">
      <c r="A43" s="16"/>
      <c r="B43" s="5" t="s">
        <v>196</v>
      </c>
      <c r="C43" s="5" t="s">
        <v>203</v>
      </c>
      <c r="D43" s="8" t="s">
        <v>195</v>
      </c>
      <c r="E43" s="5">
        <f>E31-'Zalo OA cost'!D9-E42+E40</f>
        <v>526434377.472</v>
      </c>
      <c r="F43" s="8" t="s">
        <v>28</v>
      </c>
      <c r="G43" s="8" t="s">
        <v>35</v>
      </c>
      <c r="H43" s="5"/>
      <c r="I43" s="5"/>
      <c r="J43" s="5"/>
    </row>
  </sheetData>
  <mergeCells count="5">
    <mergeCell ref="A25:A28"/>
    <mergeCell ref="A29:A31"/>
    <mergeCell ref="A32:A34"/>
    <mergeCell ref="A35:A38"/>
    <mergeCell ref="A39:A43"/>
  </mergeCells>
  <phoneticPr fontId="7" type="noConversion"/>
  <conditionalFormatting sqref="G2:G43">
    <cfRule type="expression" dxfId="1" priority="1">
      <formula>$G2="B"</formula>
    </cfRule>
    <cfRule type="expression" dxfId="0" priority="2">
      <formula>$G2="A"</formula>
    </cfRule>
  </conditionalFormatting>
  <hyperlinks>
    <hyperlink ref="I2" r:id="rId1" xr:uid="{AE61CBDF-2157-4B4E-BC9D-6011F69A72E3}"/>
    <hyperlink ref="I3" r:id="rId2" xr:uid="{AB84DD86-2293-447E-B063-5219AD4B5D83}"/>
    <hyperlink ref="I4" r:id="rId3" xr:uid="{D7B1D1B7-9958-4931-8162-6EB9DD2B822C}"/>
    <hyperlink ref="I9" r:id="rId4" xr:uid="{D4599F25-6072-483D-8E6B-C3135CAA0B47}"/>
    <hyperlink ref="I12" r:id="rId5" xr:uid="{1E65CABC-80CB-437A-9ADD-5260F952096F}"/>
    <hyperlink ref="I13" r:id="rId6" xr:uid="{A5DC4C9B-3763-4460-AFA5-7E112A8F5E81}"/>
  </hyperlinks>
  <pageMargins left="0.7" right="0.7" top="0.75" bottom="0.75" header="0.3" footer="0.3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3156-3AD9-42BB-A72B-6188CDA35487}">
  <dimension ref="A1:F23"/>
  <sheetViews>
    <sheetView tabSelected="1" workbookViewId="0">
      <selection activeCell="G34" sqref="G34"/>
    </sheetView>
  </sheetViews>
  <sheetFormatPr defaultRowHeight="14" x14ac:dyDescent="0.3"/>
  <cols>
    <col min="2" max="2" width="24.1640625" bestFit="1" customWidth="1"/>
    <col min="3" max="3" width="14.75" bestFit="1" customWidth="1"/>
    <col min="4" max="4" width="11.75" bestFit="1" customWidth="1"/>
    <col min="5" max="5" width="9.75" bestFit="1" customWidth="1"/>
    <col min="6" max="6" width="11.75" bestFit="1" customWidth="1"/>
  </cols>
  <sheetData>
    <row r="1" spans="1:6" x14ac:dyDescent="0.3">
      <c r="A1" s="5" t="s">
        <v>206</v>
      </c>
      <c r="B1" s="5" t="s">
        <v>207</v>
      </c>
      <c r="C1" s="5" t="s">
        <v>208</v>
      </c>
      <c r="D1" s="5" t="s">
        <v>209</v>
      </c>
      <c r="E1" s="5" t="s">
        <v>210</v>
      </c>
      <c r="F1" s="5" t="s">
        <v>211</v>
      </c>
    </row>
    <row r="2" spans="1:6" x14ac:dyDescent="0.3">
      <c r="A2" s="5">
        <v>1</v>
      </c>
      <c r="B2" s="5" t="s">
        <v>212</v>
      </c>
      <c r="C2" s="5"/>
      <c r="D2" s="5"/>
      <c r="E2" s="5"/>
      <c r="F2" s="5"/>
    </row>
    <row r="3" spans="1:6" x14ac:dyDescent="0.3">
      <c r="A3" s="5">
        <v>2</v>
      </c>
      <c r="B3" s="5" t="s">
        <v>23</v>
      </c>
      <c r="C3" s="5"/>
      <c r="D3" s="5">
        <f>'00_Assumptions'!E7</f>
        <v>45896.76</v>
      </c>
      <c r="E3" s="5">
        <f>D3*(1+'00_Assumptions'!E32)</f>
        <v>52781.273999999998</v>
      </c>
      <c r="F3" s="5">
        <f>E3*(1+'00_Assumptions'!E32)</f>
        <v>60698.465099999994</v>
      </c>
    </row>
    <row r="4" spans="1:6" x14ac:dyDescent="0.3">
      <c r="A4" s="5">
        <v>3</v>
      </c>
      <c r="B4" s="5" t="s">
        <v>213</v>
      </c>
      <c r="C4" s="5"/>
      <c r="D4" s="5">
        <f>D3*'00_Assumptions'!E8*12</f>
        <v>49568.500800000009</v>
      </c>
      <c r="E4" s="13">
        <f>E3* '00_Assumptions'!E8*12</f>
        <v>57003.77592</v>
      </c>
      <c r="F4" s="13">
        <f>F3*'00_Assumptions'!E8*12</f>
        <v>65554.342307999992</v>
      </c>
    </row>
    <row r="5" spans="1:6" x14ac:dyDescent="0.3">
      <c r="A5" s="5">
        <v>4</v>
      </c>
      <c r="B5" s="5" t="s">
        <v>161</v>
      </c>
      <c r="C5" s="5"/>
      <c r="D5" s="5">
        <f>D4*'00_Assumptions'!E9</f>
        <v>17348.975280000002</v>
      </c>
      <c r="E5" s="13">
        <f>E4*'00_Assumptions'!E9</f>
        <v>19951.321571999997</v>
      </c>
      <c r="F5" s="13">
        <f>F4*'00_Assumptions'!E9</f>
        <v>22944.019807799996</v>
      </c>
    </row>
    <row r="6" spans="1:6" x14ac:dyDescent="0.3">
      <c r="A6" s="5">
        <v>5</v>
      </c>
      <c r="B6" s="5" t="s">
        <v>214</v>
      </c>
      <c r="C6" s="5"/>
      <c r="D6" s="5">
        <f>'00_Assumptions'!E16</f>
        <v>28000</v>
      </c>
      <c r="E6" s="13">
        <f>'00_Assumptions'!E16</f>
        <v>28000</v>
      </c>
      <c r="F6" s="13">
        <f>'00_Assumptions'!E16</f>
        <v>28000</v>
      </c>
    </row>
    <row r="7" spans="1:6" x14ac:dyDescent="0.3">
      <c r="A7" s="5">
        <v>6</v>
      </c>
      <c r="B7" s="5" t="s">
        <v>215</v>
      </c>
      <c r="C7" s="5"/>
      <c r="D7" s="5">
        <f>D5*D6</f>
        <v>485771307.84000009</v>
      </c>
      <c r="E7" s="5">
        <f>E5*E6</f>
        <v>558637004.01599991</v>
      </c>
      <c r="F7" s="5">
        <f>F5*F6</f>
        <v>642432554.61839986</v>
      </c>
    </row>
    <row r="8" spans="1:6" x14ac:dyDescent="0.3">
      <c r="A8" s="5">
        <v>7</v>
      </c>
      <c r="B8" s="5" t="s">
        <v>216</v>
      </c>
      <c r="C8" s="5"/>
      <c r="D8" s="5"/>
      <c r="E8" s="5"/>
      <c r="F8" s="5"/>
    </row>
    <row r="9" spans="1:6" x14ac:dyDescent="0.3">
      <c r="A9" s="5">
        <v>8</v>
      </c>
      <c r="B9" s="5" t="s">
        <v>217</v>
      </c>
      <c r="C9" s="5"/>
      <c r="D9" s="5">
        <f>'Zalo OA cost'!D9</f>
        <v>167728336</v>
      </c>
      <c r="E9" s="5">
        <f>D9*(1+'00_Assumptions'!E33)</f>
        <v>176114752.80000001</v>
      </c>
      <c r="F9" s="5">
        <f>E9*(1+'00_Assumptions'!E33)</f>
        <v>184920490.44000003</v>
      </c>
    </row>
    <row r="10" spans="1:6" x14ac:dyDescent="0.3">
      <c r="A10" s="5">
        <v>9</v>
      </c>
      <c r="B10" s="5" t="s">
        <v>218</v>
      </c>
      <c r="C10" s="5"/>
      <c r="D10" s="5">
        <f>D7-D9-D11</f>
        <v>91376305.173333436</v>
      </c>
      <c r="E10" s="5">
        <f>E7-E9-E11</f>
        <v>155855584.54933324</v>
      </c>
      <c r="F10" s="5">
        <f>F7-F9-F11</f>
        <v>230845397.51173314</v>
      </c>
    </row>
    <row r="11" spans="1:6" x14ac:dyDescent="0.3">
      <c r="A11" s="5">
        <v>10</v>
      </c>
      <c r="B11" s="5" t="s">
        <v>219</v>
      </c>
      <c r="C11" s="5"/>
      <c r="D11" s="5">
        <f>'00_Assumptions'!E40</f>
        <v>226666666.66666666</v>
      </c>
      <c r="E11" s="5">
        <f>'00_Assumptions'!E40</f>
        <v>226666666.66666666</v>
      </c>
      <c r="F11" s="5">
        <f>'00_Assumptions'!E40</f>
        <v>226666666.66666666</v>
      </c>
    </row>
    <row r="12" spans="1:6" x14ac:dyDescent="0.3">
      <c r="A12" s="5">
        <v>11</v>
      </c>
      <c r="B12" s="5" t="s">
        <v>220</v>
      </c>
      <c r="C12" s="5"/>
      <c r="D12" s="5">
        <f>D10</f>
        <v>91376305.173333436</v>
      </c>
      <c r="E12" s="5">
        <f>E10</f>
        <v>155855584.54933324</v>
      </c>
      <c r="F12" s="5">
        <f>F10</f>
        <v>230845397.51173314</v>
      </c>
    </row>
    <row r="13" spans="1:6" x14ac:dyDescent="0.3">
      <c r="A13" s="5">
        <v>12</v>
      </c>
      <c r="B13" s="5" t="s">
        <v>221</v>
      </c>
      <c r="C13" s="5"/>
      <c r="D13" s="5">
        <f>MAX(0,D12)*'00_Assumptions'!E23</f>
        <v>18275261.034666687</v>
      </c>
      <c r="E13" s="5">
        <f>MAX(0,E12)*'00_Assumptions'!E23</f>
        <v>31171116.90986665</v>
      </c>
      <c r="F13" s="5">
        <f>MAX(0,F12)*'00_Assumptions'!E23</f>
        <v>46169079.502346635</v>
      </c>
    </row>
    <row r="14" spans="1:6" x14ac:dyDescent="0.3">
      <c r="A14" s="5">
        <v>13</v>
      </c>
      <c r="B14" s="5" t="s">
        <v>222</v>
      </c>
      <c r="C14" s="5"/>
      <c r="D14" s="5">
        <f>D12-D13</f>
        <v>73101044.138666749</v>
      </c>
      <c r="E14" s="5">
        <f>E12-E13</f>
        <v>124684467.6394666</v>
      </c>
      <c r="F14" s="5">
        <f>F12-F13</f>
        <v>184676318.00938651</v>
      </c>
    </row>
    <row r="15" spans="1:6" x14ac:dyDescent="0.3">
      <c r="A15" s="5">
        <v>14</v>
      </c>
      <c r="B15" s="5" t="s">
        <v>223</v>
      </c>
      <c r="C15" s="5"/>
      <c r="D15" s="5">
        <f>D11</f>
        <v>226666666.66666666</v>
      </c>
      <c r="E15" s="5">
        <f>E11</f>
        <v>226666666.66666666</v>
      </c>
      <c r="F15" s="5">
        <f>F11</f>
        <v>226666666.66666666</v>
      </c>
    </row>
    <row r="16" spans="1:6" x14ac:dyDescent="0.3">
      <c r="A16" s="5">
        <v>15</v>
      </c>
      <c r="B16" s="5" t="s">
        <v>224</v>
      </c>
      <c r="C16" s="5">
        <f>-'00_Assumptions'!E28</f>
        <v>-680000000</v>
      </c>
      <c r="D16" s="5">
        <f>D14+D15</f>
        <v>299767710.80533338</v>
      </c>
      <c r="E16" s="5">
        <f>E14+E15</f>
        <v>351351134.30613327</v>
      </c>
      <c r="F16" s="5">
        <f>F14+F15</f>
        <v>411342984.67605317</v>
      </c>
    </row>
    <row r="17" spans="1:6" x14ac:dyDescent="0.3">
      <c r="A17" s="5">
        <v>16</v>
      </c>
      <c r="B17" s="5" t="s">
        <v>225</v>
      </c>
      <c r="C17" s="5">
        <f>C16</f>
        <v>-680000000</v>
      </c>
      <c r="D17" s="5">
        <f>C17+D16</f>
        <v>-380232289.19466662</v>
      </c>
      <c r="E17" s="5">
        <f>D17+E16</f>
        <v>-28881154.888533354</v>
      </c>
      <c r="F17" s="5">
        <f>E17+F16</f>
        <v>382461829.78751981</v>
      </c>
    </row>
    <row r="18" spans="1:6" x14ac:dyDescent="0.3">
      <c r="A18" s="5">
        <v>17</v>
      </c>
      <c r="B18" s="5" t="s">
        <v>226</v>
      </c>
      <c r="C18" s="5">
        <f>C16</f>
        <v>-680000000</v>
      </c>
      <c r="D18" s="5">
        <f>D16/(1+'00_Assumptions'!E22)^1</f>
        <v>272516100.73212123</v>
      </c>
      <c r="E18" s="5">
        <f>E16/(1+'00_Assumptions'!E22)^2</f>
        <v>290372838.26953161</v>
      </c>
      <c r="F18" s="5">
        <f>F16/(1+'00_Assumptions'!E22)^3</f>
        <v>309048072.63414955</v>
      </c>
    </row>
    <row r="19" spans="1:6" x14ac:dyDescent="0.3">
      <c r="A19" s="5">
        <v>18</v>
      </c>
      <c r="B19" s="5" t="s">
        <v>227</v>
      </c>
      <c r="C19" s="5">
        <f>C18</f>
        <v>-680000000</v>
      </c>
      <c r="D19" s="5">
        <f>C19+D18</f>
        <v>-407483899.26787877</v>
      </c>
      <c r="E19" s="5">
        <f>D19+E18</f>
        <v>-117111060.99834716</v>
      </c>
      <c r="F19" s="5">
        <f>E19+F18</f>
        <v>191937011.63580239</v>
      </c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 t="s">
        <v>228</v>
      </c>
      <c r="C21" s="14">
        <f>C16+NPV('00_Assumptions'!E22,D16:F16)</f>
        <v>191937011.63580239</v>
      </c>
      <c r="D21" s="5"/>
      <c r="E21" s="5"/>
      <c r="F21" s="5"/>
    </row>
    <row r="22" spans="1:6" x14ac:dyDescent="0.3">
      <c r="A22" s="5"/>
      <c r="B22" s="5" t="s">
        <v>229</v>
      </c>
      <c r="C22" s="15">
        <f>IRR(C16:F16)</f>
        <v>0.24556712665926672</v>
      </c>
      <c r="D22" s="5"/>
      <c r="E22" s="5"/>
      <c r="F22" s="5"/>
    </row>
    <row r="23" spans="1:6" x14ac:dyDescent="0.3">
      <c r="A23" s="5"/>
      <c r="B23" s="5" t="s">
        <v>230</v>
      </c>
      <c r="C23" s="5">
        <f>2+ABS(E17)/F16</f>
        <v>2.0702118571714023</v>
      </c>
      <c r="D23" s="5"/>
      <c r="E23" s="5"/>
      <c r="F23" s="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Zalo OA cost</vt:lpstr>
      <vt:lpstr>00_Assumptions</vt:lpstr>
      <vt:lpstr>03_CashFlow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Hang</dc:creator>
  <cp:lastModifiedBy>Hoang Hang</cp:lastModifiedBy>
  <dcterms:created xsi:type="dcterms:W3CDTF">2026-09-15T07:20:30Z</dcterms:created>
  <dcterms:modified xsi:type="dcterms:W3CDTF">2026-10-03T18:21:04Z</dcterms:modified>
</cp:coreProperties>
</file>